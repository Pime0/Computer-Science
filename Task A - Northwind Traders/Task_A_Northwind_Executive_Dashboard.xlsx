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ummary" sheetId="1" state="visible" r:id="rId1"/>
    <sheet xmlns:r="http://schemas.openxmlformats.org/officeDocument/2006/relationships" name="Sales &amp; Revenue" sheetId="2" state="visible" r:id="rId2"/>
    <sheet xmlns:r="http://schemas.openxmlformats.org/officeDocument/2006/relationships" name="Product &amp; Category" sheetId="3" state="visible" r:id="rId3"/>
    <sheet xmlns:r="http://schemas.openxmlformats.org/officeDocument/2006/relationships" name="Regional &amp; Peop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2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b val="1"/>
      <color rgb="00FFFFFF"/>
      <sz val="16"/>
    </font>
    <font>
      <name val="Arial"/>
      <b val="1"/>
      <color rgb="00263238"/>
      <sz val="8"/>
    </font>
    <font>
      <name val="Arial"/>
      <b val="1"/>
      <color rgb="00FFFFFF"/>
      <sz val="11"/>
    </font>
    <font>
      <name val="Arial"/>
      <color rgb="00263238"/>
      <sz val="9.5"/>
    </font>
    <font>
      <name val="Arial"/>
      <b val="1"/>
      <color rgb="001565C0"/>
      <sz val="9.5"/>
    </font>
    <font>
      <name val="Arial"/>
      <b val="1"/>
      <color rgb="00FFFFFF"/>
      <sz val="13"/>
    </font>
    <font>
      <name val="Arial"/>
      <color rgb="00000000"/>
      <sz val="9"/>
    </font>
    <font>
      <name val="Arial"/>
      <b val="1"/>
      <color rgb="00FFFFFF"/>
      <sz val="9"/>
    </font>
    <font>
      <name val="Arial"/>
      <color rgb="00263238"/>
      <sz val="9"/>
    </font>
    <font>
      <name val="Arial"/>
      <b val="1"/>
      <color rgb="00000000"/>
      <sz val="9"/>
    </font>
    <font>
      <name val="Arial"/>
      <b val="1"/>
      <color rgb="00F9A825"/>
      <sz val="9"/>
    </font>
    <font>
      <name val="Arial"/>
      <b val="1"/>
      <color rgb="001B5E20"/>
      <sz val="9"/>
    </font>
    <font>
      <name val="Arial"/>
      <b val="1"/>
      <color rgb="001976D2"/>
      <sz val="9"/>
    </font>
    <font>
      <name val="Arial"/>
      <b val="1"/>
      <color rgb="00004D40"/>
      <sz val="9"/>
    </font>
    <font>
      <name val="Arial"/>
      <b val="1"/>
      <color rgb="00795548"/>
      <sz val="9"/>
    </font>
    <font>
      <name val="Arial"/>
      <b val="1"/>
      <color rgb="00E65100"/>
      <sz val="9"/>
    </font>
    <font>
      <name val="Arial"/>
      <b val="1"/>
      <color rgb="00B71C1C"/>
      <sz val="9"/>
    </font>
    <font>
      <name val="Arial"/>
      <b val="1"/>
      <color rgb="00263238"/>
      <sz val="9"/>
    </font>
    <font>
      <name val="Arial"/>
      <b val="1"/>
      <color rgb="0000695C"/>
      <sz val="9"/>
    </font>
  </fonts>
  <fills count="15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1976D2"/>
      </patternFill>
    </fill>
    <fill>
      <patternFill patternType="solid">
        <fgColor rgb="00D9EAF8"/>
      </patternFill>
    </fill>
    <fill>
      <patternFill patternType="solid">
        <fgColor rgb="00004D40"/>
      </patternFill>
    </fill>
    <fill>
      <patternFill patternType="solid">
        <fgColor rgb="00D4EDDA"/>
      </patternFill>
    </fill>
    <fill>
      <patternFill patternType="solid">
        <fgColor rgb="00E65100"/>
      </patternFill>
    </fill>
    <fill>
      <patternFill patternType="solid">
        <fgColor rgb="00FDEBD0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00695C"/>
      </patternFill>
    </fill>
    <fill>
      <patternFill patternType="solid">
        <fgColor rgb="00E0F2F1"/>
      </patternFill>
    </fill>
    <fill>
      <patternFill patternType="solid">
        <fgColor rgb="000D47A1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9" borderId="0" applyAlignment="1" pivotButton="0" quotePrefix="0" xfId="0">
      <alignment horizontal="left" vertical="center" wrapText="1" indent="1"/>
    </xf>
    <xf numFmtId="0" fontId="6" fillId="10" borderId="0" applyAlignment="1" pivotButton="0" quotePrefix="0" xfId="0">
      <alignment horizontal="left" vertical="center" wrapText="1" indent="1"/>
    </xf>
    <xf numFmtId="0" fontId="7" fillId="10" borderId="0" applyAlignment="1" pivotButton="0" quotePrefix="0" xfId="0">
      <alignment horizontal="left" vertical="center" wrapText="1" indent="1"/>
    </xf>
    <xf numFmtId="0" fontId="7" fillId="9" borderId="0" applyAlignment="1" pivotButton="0" quotePrefix="0" xfId="0">
      <alignment horizontal="left" vertical="center" wrapText="1" indent="1"/>
    </xf>
    <xf numFmtId="0" fontId="8" fillId="3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164" fontId="9" fillId="9" borderId="1" applyAlignment="1" pivotButton="0" quotePrefix="0" xfId="0">
      <alignment horizontal="right" vertical="center"/>
    </xf>
    <xf numFmtId="0" fontId="9" fillId="12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164" fontId="9" fillId="10" borderId="1" applyAlignment="1" pivotButton="0" quotePrefix="0" xfId="0">
      <alignment horizontal="right" vertical="center"/>
    </xf>
    <xf numFmtId="0" fontId="11" fillId="9" borderId="1" applyAlignment="1" pivotButton="0" quotePrefix="0" xfId="0">
      <alignment horizontal="left" vertical="center" wrapText="1" indent="1"/>
    </xf>
    <xf numFmtId="0" fontId="11" fillId="10" borderId="1" applyAlignment="1" pivotButton="0" quotePrefix="0" xfId="0">
      <alignment horizontal="left" vertical="center" wrapText="1" indent="1"/>
    </xf>
    <xf numFmtId="0" fontId="10" fillId="2" borderId="1" applyAlignment="1" pivotButton="0" quotePrefix="0" xfId="0">
      <alignment horizontal="center" vertical="center"/>
    </xf>
    <xf numFmtId="164" fontId="10" fillId="2" borderId="1" applyAlignment="1" pivotButton="0" quotePrefix="0" xfId="0">
      <alignment horizontal="right" vertical="center"/>
    </xf>
    <xf numFmtId="0" fontId="8" fillId="13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left" vertical="center"/>
    </xf>
    <xf numFmtId="0" fontId="13" fillId="9" borderId="1" applyAlignment="1" pivotButton="0" quotePrefix="0" xfId="0">
      <alignment horizontal="center" vertical="center"/>
    </xf>
    <xf numFmtId="0" fontId="12" fillId="14" borderId="1" applyAlignment="1" pivotButton="0" quotePrefix="0" xfId="0">
      <alignment horizontal="left" vertical="center"/>
    </xf>
    <xf numFmtId="0" fontId="9" fillId="14" borderId="1" applyAlignment="1" pivotButton="0" quotePrefix="0" xfId="0">
      <alignment horizontal="center" vertical="center"/>
    </xf>
    <xf numFmtId="0" fontId="12" fillId="10" borderId="1" applyAlignment="1" pivotButton="0" quotePrefix="0" xfId="0">
      <alignment horizontal="left" vertical="center"/>
    </xf>
    <xf numFmtId="0" fontId="14" fillId="10" borderId="1" applyAlignment="1" pivotButton="0" quotePrefix="0" xfId="0">
      <alignment horizontal="center" vertical="center"/>
    </xf>
    <xf numFmtId="0" fontId="15" fillId="9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center" vertical="center"/>
    </xf>
    <xf numFmtId="0" fontId="16" fillId="9" borderId="1" applyAlignment="1" pivotButton="0" quotePrefix="0" xfId="0">
      <alignment horizontal="center" vertical="center"/>
    </xf>
    <xf numFmtId="0" fontId="17" fillId="10" borderId="1" applyAlignment="1" pivotButton="0" quotePrefix="0" xfId="0">
      <alignment horizontal="center" vertical="center"/>
    </xf>
    <xf numFmtId="0" fontId="18" fillId="9" borderId="1" applyAlignment="1" pivotButton="0" quotePrefix="0" xfId="0">
      <alignment horizontal="center" vertical="center"/>
    </xf>
    <xf numFmtId="0" fontId="19" fillId="10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left" vertical="center"/>
    </xf>
    <xf numFmtId="0" fontId="8" fillId="5" borderId="0" applyAlignment="1" pivotButton="0" quotePrefix="0" xfId="0">
      <alignment horizontal="center" vertical="center"/>
    </xf>
    <xf numFmtId="164" fontId="9" fillId="12" borderId="1" applyAlignment="1" pivotButton="0" quotePrefix="0" xfId="0">
      <alignment horizontal="right" vertical="center"/>
    </xf>
    <xf numFmtId="0" fontId="9" fillId="12" borderId="1" applyAlignment="1" pivotButton="0" quotePrefix="0" xfId="0">
      <alignment horizontal="left" vertical="center"/>
    </xf>
    <xf numFmtId="164" fontId="9" fillId="14" borderId="1" applyAlignment="1" pivotButton="0" quotePrefix="0" xfId="0">
      <alignment horizontal="right" vertical="center"/>
    </xf>
    <xf numFmtId="0" fontId="18" fillId="14" borderId="1" applyAlignment="1" pivotButton="0" quotePrefix="0" xfId="0">
      <alignment horizontal="left" vertical="center"/>
    </xf>
    <xf numFmtId="0" fontId="9" fillId="10" borderId="1" applyAlignment="1" pivotButton="0" quotePrefix="0" xfId="0">
      <alignment horizontal="left" vertical="center"/>
    </xf>
    <xf numFmtId="0" fontId="20" fillId="10" borderId="1" applyAlignment="1" pivotButton="0" quotePrefix="0" xfId="0">
      <alignment horizontal="left" vertical="center"/>
    </xf>
    <xf numFmtId="0" fontId="21" fillId="14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left" vertical="center"/>
    </xf>
    <xf numFmtId="0" fontId="20" fillId="9" borderId="1" applyAlignment="1" pivotButton="0" quotePrefix="0" xfId="0">
      <alignment horizontal="center" vertical="center"/>
    </xf>
    <xf numFmtId="0" fontId="20" fillId="10" borderId="1" applyAlignment="1" pivotButton="0" quotePrefix="0" xfId="0">
      <alignment horizontal="center" vertical="center"/>
    </xf>
    <xf numFmtId="0" fontId="18" fillId="10" borderId="1" applyAlignment="1" pivotButton="0" quotePrefix="0" xfId="0">
      <alignment horizontal="center" vertical="center"/>
    </xf>
    <xf numFmtId="0" fontId="19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Trend (Jul 2013 – May 2015)</a:t>
            </a:r>
          </a:p>
        </rich>
      </tx>
    </title>
    <plotArea>
      <lineChart>
        <grouping val="standard"/>
        <ser>
          <idx val="0"/>
          <order val="0"/>
          <tx>
            <strRef>
              <f>'Sales &amp; Revenue'!B7</f>
            </strRef>
          </tx>
          <spPr>
            <a:ln xmlns:a="http://schemas.openxmlformats.org/drawingml/2006/main" w="25000">
              <a:solidFill>
                <a:srgbClr val="1976D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'Sales &amp; Revenue'!$A$8:$A$30</f>
            </numRef>
          </cat>
          <val>
            <numRef>
              <f>'Sales &amp; Revenue'!$B$8:$B$30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(USD)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Year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'Sales &amp; Revenue'!H7</f>
            </strRef>
          </tx>
          <spPr>
            <a:solidFill xmlns:a="http://schemas.openxmlformats.org/drawingml/2006/main">
              <a:srgbClr val="1565C0"/>
            </a:solidFill>
            <a:ln xmlns:a="http://schemas.openxmlformats.org/drawingml/2006/main">
              <a:prstDash val="solid"/>
            </a:ln>
          </spPr>
          <cat>
            <numRef>
              <f>'Sales &amp; Revenue'!$G$8:$G$10</f>
            </numRef>
          </cat>
          <val>
            <numRef>
              <f>'Sales &amp; Revenue'!$H$8:$H$10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(USD)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Product Category (USD)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'Product &amp; Category'!B4</f>
            </strRef>
          </tx>
          <spPr>
            <a:solidFill xmlns:a="http://schemas.openxmlformats.org/drawingml/2006/main">
              <a:srgbClr val="1976D2"/>
            </a:solidFill>
            <a:ln xmlns:a="http://schemas.openxmlformats.org/drawingml/2006/main">
              <a:prstDash val="solid"/>
            </a:ln>
          </spPr>
          <cat>
            <numRef>
              <f>'Product &amp; Category'!$A$5:$A$12</f>
            </numRef>
          </cat>
          <val>
            <numRef>
              <f>'Product &amp; Category'!$B$5:$B$12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(USD)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Category Revenue Share (%)</a:t>
            </a:r>
          </a:p>
        </rich>
      </tx>
    </title>
    <plotArea>
      <pieChart>
        <varyColors val="1"/>
        <ser>
          <idx val="0"/>
          <order val="0"/>
          <tx>
            <strRef>
              <f>'Product &amp; Category'!B4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'Product &amp; Category'!$A$5:$A$12</f>
            </numRef>
          </cat>
          <val>
            <numRef>
              <f>'Product &amp; Category'!$B$5:$B$12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Countries by Revenue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'Regional &amp; People'!B4</f>
            </strRef>
          </tx>
          <spPr>
            <a:solidFill xmlns:a="http://schemas.openxmlformats.org/drawingml/2006/main">
              <a:srgbClr val="004D40"/>
            </a:solidFill>
            <a:ln xmlns:a="http://schemas.openxmlformats.org/drawingml/2006/main">
              <a:prstDash val="solid"/>
            </a:ln>
          </spPr>
          <cat>
            <numRef>
              <f>'Regional &amp; People'!$A$5:$A$14</f>
            </numRef>
          </cat>
          <val>
            <numRef>
              <f>'Regional &amp; People'!$B$5:$B$14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Employee Revenue Ranking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'Regional &amp; People'!I11</f>
            </strRef>
          </tx>
          <spPr>
            <a:solidFill xmlns:a="http://schemas.openxmlformats.org/drawingml/2006/main">
              <a:srgbClr val="1976D2"/>
            </a:solidFill>
            <a:ln xmlns:a="http://schemas.openxmlformats.org/drawingml/2006/main">
              <a:prstDash val="solid"/>
            </a:ln>
          </spPr>
          <cat>
            <numRef>
              <f>'Regional &amp; People'!$H$12:$H$20</f>
            </numRef>
          </cat>
          <val>
            <numRef>
              <f>'Regional &amp; People'!$I$12:$I$20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21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21</row>
      <rowOff>0</rowOff>
    </from>
    <ext cx="504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21</row>
      <rowOff>0</rowOff>
    </from>
    <ext cx="64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10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10</row>
      <rowOff>0</rowOff>
    </from>
    <ext cx="648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8" customHeight="1">
      <c r="A1" s="1" t="inlineStr">
        <is>
          <t>NORTHWIND TRADERS — GLOBAL SALES &amp; OPERATIONS INTELLIGENCE DASHBOARD</t>
        </is>
      </c>
    </row>
    <row r="2" ht="28" customHeight="1">
      <c r="A2" s="2" t="inlineStr">
        <is>
          <t>Executive BI Dashboard  |  FY 2013 – 2015  |  Northwind Traders Dataset</t>
        </is>
      </c>
    </row>
    <row r="4" ht="28" customHeight="1">
      <c r="A4" s="3" t="inlineStr">
        <is>
          <t>$1,265,793</t>
        </is>
      </c>
      <c r="D4" s="4" t="inlineStr">
        <is>
          <t>830</t>
        </is>
      </c>
      <c r="G4" s="5" t="inlineStr">
        <is>
          <t>$1,525</t>
        </is>
      </c>
      <c r="J4" s="6" t="inlineStr">
        <is>
          <t>91</t>
        </is>
      </c>
    </row>
    <row r="5" ht="16" customHeight="1">
      <c r="A5" s="7" t="inlineStr">
        <is>
          <t>TOTAL REVENUE (USD)</t>
        </is>
      </c>
      <c r="D5" s="7" t="inlineStr">
        <is>
          <t>TOTAL ORDERS</t>
        </is>
      </c>
      <c r="G5" s="8" t="inlineStr">
        <is>
          <t>AVG ORDER VALUE</t>
        </is>
      </c>
      <c r="J5" s="9" t="inlineStr">
        <is>
          <t>CUSTOMERS SERVED</t>
        </is>
      </c>
    </row>
    <row r="7" ht="22" customHeight="1">
      <c r="A7" s="10" t="inlineStr">
        <is>
          <t>EXECUTIVE SUMMARY</t>
        </is>
      </c>
    </row>
    <row r="8" ht="16" customHeight="1">
      <c r="A8" s="11" t="inlineStr">
        <is>
          <t>Northwind Traders is a premier global gourmet food supplier serving 91 customers across 21 countries.</t>
        </is>
      </c>
    </row>
    <row r="9" ht="16" customHeight="1">
      <c r="A9" s="12" t="inlineStr">
        <is>
          <t>This BI dashboard spans July 2013 – May 2015, analysing 830 orders, 77 products across 8 categories, 9 employees, and 3 shippers.</t>
        </is>
      </c>
    </row>
    <row r="10" ht="16" customHeight="1">
      <c r="A10" s="11" t="inlineStr"/>
    </row>
    <row r="11" ht="16" customHeight="1">
      <c r="A11" s="13" t="inlineStr">
        <is>
          <t>KEY FINDINGS:</t>
        </is>
      </c>
    </row>
    <row r="12" ht="16" customHeight="1">
      <c r="A12" s="11" t="inlineStr">
        <is>
          <t xml:space="preserve">  • Revenue grew from $208K (2013 H2) to $617K (2014) — a 196.6% YoY increase.</t>
        </is>
      </c>
    </row>
    <row r="13" ht="16" customHeight="1">
      <c r="A13" s="12" t="inlineStr">
        <is>
          <t xml:space="preserve">  • USA ($245,585) and Germany ($230,285) are the top two markets — together 37.6% of total revenue.</t>
        </is>
      </c>
    </row>
    <row r="14" ht="16" customHeight="1">
      <c r="A14" s="11" t="inlineStr">
        <is>
          <t xml:space="preserve">  • Beverages is the #1 category ($267,868 | 21.2% share); Grains &amp; Cereals is lowest at $95,745.</t>
        </is>
      </c>
    </row>
    <row r="15" ht="16" customHeight="1">
      <c r="A15" s="12" t="inlineStr">
        <is>
          <t xml:space="preserve">  • Margaret Peacock leads the sales team with $232,891 in attributed revenue.</t>
        </is>
      </c>
    </row>
    <row r="16" ht="16" customHeight="1">
      <c r="A16" s="11" t="inlineStr">
        <is>
          <t xml:space="preserve">  • Discounts of $88,666 reduced gross revenue by 6.5% — policy review recommended.</t>
        </is>
      </c>
    </row>
    <row r="17" ht="16" customHeight="1">
      <c r="A17" s="12" t="inlineStr">
        <is>
          <t xml:space="preserve">  • Speedy Express is the most cost-efficient shipper ($65.00 avg freight vs $86.64 for United Package).</t>
        </is>
      </c>
    </row>
    <row r="18" ht="16" customHeight="1">
      <c r="A18" s="11" t="inlineStr">
        <is>
          <t xml:space="preserve">  • Average order value grew from $1,062 (2013) to $1,950 (2015) — customers buying more per order.</t>
        </is>
      </c>
    </row>
    <row r="19" ht="16" customHeight="1">
      <c r="A19" s="12" t="inlineStr"/>
    </row>
    <row r="20" ht="16" customHeight="1">
      <c r="A20" s="14" t="inlineStr">
        <is>
          <t>DASHBOARD PAGES:</t>
        </is>
      </c>
    </row>
    <row r="21" ht="16" customHeight="1">
      <c r="A21" s="12" t="inlineStr">
        <is>
          <t xml:space="preserve">  → Sheet: 'Sales &amp; Revenue'     — Monthly trends, YoY growth, seasonal patterns</t>
        </is>
      </c>
    </row>
    <row r="22" ht="16" customHeight="1">
      <c r="A22" s="11" t="inlineStr">
        <is>
          <t xml:space="preserve">  → Sheet: 'Product &amp; Category'  — Category revenue, discontinued products, discount analysis</t>
        </is>
      </c>
    </row>
    <row r="23" ht="16" customHeight="1">
      <c r="A23" s="12" t="inlineStr">
        <is>
          <t xml:space="preserve">  → Sheet: 'Regional &amp; People'   — Country markets, shipper comparison, employee rankings</t>
        </is>
      </c>
    </row>
  </sheetData>
  <mergeCells count="27">
    <mergeCell ref="A16:L16"/>
    <mergeCell ref="A7:L7"/>
    <mergeCell ref="J4:L4"/>
    <mergeCell ref="A18:L18"/>
    <mergeCell ref="A21:L21"/>
    <mergeCell ref="A12:L12"/>
    <mergeCell ref="A2:L2"/>
    <mergeCell ref="A5:C5"/>
    <mergeCell ref="G5:I5"/>
    <mergeCell ref="D4:F4"/>
    <mergeCell ref="A23:L23"/>
    <mergeCell ref="A8:L8"/>
    <mergeCell ref="A14:L14"/>
    <mergeCell ref="G4:I4"/>
    <mergeCell ref="A22:L22"/>
    <mergeCell ref="A17:L17"/>
    <mergeCell ref="A4:C4"/>
    <mergeCell ref="A20:L20"/>
    <mergeCell ref="A10:L10"/>
    <mergeCell ref="D5:F5"/>
    <mergeCell ref="A19:L19"/>
    <mergeCell ref="A13:L13"/>
    <mergeCell ref="A9:L9"/>
    <mergeCell ref="J5:L5"/>
    <mergeCell ref="A15:L15"/>
    <mergeCell ref="A11:L11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0" customWidth="1" min="3" max="3"/>
    <col width="14" customWidth="1" min="4" max="4"/>
    <col width="14" customWidth="1" min="5" max="5"/>
    <col width="2" customWidth="1" min="6" max="6"/>
    <col width="16" customWidth="1" min="7" max="7"/>
    <col width="16" customWidth="1" min="8" max="8"/>
    <col width="16" customWidth="1" min="9" max="9"/>
    <col width="16" customWidth="1" min="10" max="10"/>
    <col width="18" customWidth="1" min="11" max="11"/>
  </cols>
  <sheetData>
    <row r="1" ht="28" customHeight="1">
      <c r="A1" s="15" t="inlineStr">
        <is>
          <t>PAGE 1: SALES &amp; REVENUE OVERVIEW</t>
        </is>
      </c>
    </row>
    <row r="3" ht="28" customHeight="1">
      <c r="A3" s="3" t="inlineStr">
        <is>
          <t>$1,265,793</t>
        </is>
      </c>
      <c r="E3" s="5" t="inlineStr">
        <is>
          <t>+196.6%</t>
        </is>
      </c>
      <c r="I3" s="4" t="inlineStr">
        <is>
          <t>$1,525</t>
        </is>
      </c>
      <c r="M3" s="6" t="inlineStr">
        <is>
          <t>$88,666</t>
        </is>
      </c>
    </row>
    <row r="4" ht="16" customHeight="1">
      <c r="A4" s="7" t="inlineStr">
        <is>
          <t>TOTAL REVENUE</t>
        </is>
      </c>
      <c r="E4" s="8" t="inlineStr">
        <is>
          <t>YOY GROWTH (2014)</t>
        </is>
      </c>
      <c r="I4" s="7" t="inlineStr">
        <is>
          <t>AVG ORDER VALUE</t>
        </is>
      </c>
      <c r="M4" s="9" t="inlineStr">
        <is>
          <t>DISCOUNT IMPACT (USD)</t>
        </is>
      </c>
    </row>
    <row r="6" ht="20" customHeight="1">
      <c r="A6" s="16" t="inlineStr">
        <is>
          <t>MONTHLY REVENUE &amp; ORDERS</t>
        </is>
      </c>
      <c r="G6" s="17" t="inlineStr">
        <is>
          <t>YEARLY PERFORMANCE SUMMARY</t>
        </is>
      </c>
    </row>
    <row r="7">
      <c r="A7" s="18" t="inlineStr">
        <is>
          <t>Month</t>
        </is>
      </c>
      <c r="B7" s="18" t="inlineStr">
        <is>
          <t>Revenue (USD)</t>
        </is>
      </c>
      <c r="C7" s="18" t="inlineStr">
        <is>
          <t>Orders</t>
        </is>
      </c>
      <c r="D7" s="18" t="inlineStr">
        <is>
          <t>Avg Rev/Order</t>
        </is>
      </c>
      <c r="E7" s="18" t="inlineStr">
        <is>
          <t>YoY Note</t>
        </is>
      </c>
      <c r="G7" s="19" t="inlineStr">
        <is>
          <t>Year</t>
        </is>
      </c>
      <c r="H7" s="19" t="inlineStr">
        <is>
          <t>Revenue</t>
        </is>
      </c>
      <c r="I7" s="19" t="inlineStr">
        <is>
          <t>YoY Growth</t>
        </is>
      </c>
      <c r="J7" s="19" t="inlineStr">
        <is>
          <t>Orders</t>
        </is>
      </c>
      <c r="K7" s="19" t="inlineStr">
        <is>
          <t>Avg Order Value</t>
        </is>
      </c>
    </row>
    <row r="8">
      <c r="A8" s="20" t="inlineStr">
        <is>
          <t>2013-07</t>
        </is>
      </c>
      <c r="B8" s="21" t="n">
        <v>27861.9</v>
      </c>
      <c r="C8" s="20" t="n">
        <v>22</v>
      </c>
      <c r="D8" s="21">
        <f>B8/C8</f>
        <v/>
      </c>
      <c r="E8" s="20" t="inlineStr">
        <is>
          <t>H2 only</t>
        </is>
      </c>
      <c r="G8" s="22" t="n">
        <v>2013</v>
      </c>
      <c r="H8" s="22" t="inlineStr">
        <is>
          <t>$208,084</t>
        </is>
      </c>
      <c r="I8" s="22" t="inlineStr">
        <is>
          <t>—</t>
        </is>
      </c>
      <c r="J8" s="22" t="n">
        <v>196</v>
      </c>
      <c r="K8" s="22" t="inlineStr">
        <is>
          <t>$1,062</t>
        </is>
      </c>
    </row>
    <row r="9">
      <c r="A9" s="23" t="inlineStr">
        <is>
          <t>2013-08</t>
        </is>
      </c>
      <c r="B9" s="24" t="n">
        <v>25485.28</v>
      </c>
      <c r="C9" s="23" t="n">
        <v>25</v>
      </c>
      <c r="D9" s="24">
        <f>B9/C9</f>
        <v/>
      </c>
      <c r="E9" s="23" t="inlineStr">
        <is>
          <t>H2 only</t>
        </is>
      </c>
      <c r="G9" s="23" t="n">
        <v>2014</v>
      </c>
      <c r="H9" s="23" t="inlineStr">
        <is>
          <t>$617,085</t>
        </is>
      </c>
      <c r="I9" s="23" t="inlineStr">
        <is>
          <t>+196.6%</t>
        </is>
      </c>
      <c r="J9" s="23" t="n">
        <v>408</v>
      </c>
      <c r="K9" s="23" t="inlineStr">
        <is>
          <t>$1,513</t>
        </is>
      </c>
    </row>
    <row r="10">
      <c r="A10" s="20" t="inlineStr">
        <is>
          <t>2013-09</t>
        </is>
      </c>
      <c r="B10" s="21" t="n">
        <v>26381.4</v>
      </c>
      <c r="C10" s="20" t="n">
        <v>23</v>
      </c>
      <c r="D10" s="21">
        <f>B10/C10</f>
        <v/>
      </c>
      <c r="E10" s="20" t="inlineStr">
        <is>
          <t>H2 only</t>
        </is>
      </c>
      <c r="G10" s="22" t="n">
        <v>2015</v>
      </c>
      <c r="H10" s="22" t="inlineStr">
        <is>
          <t>$440,624</t>
        </is>
      </c>
      <c r="I10" s="22" t="inlineStr">
        <is>
          <t>On track (Jan–May)</t>
        </is>
      </c>
      <c r="J10" s="22" t="n">
        <v>226</v>
      </c>
      <c r="K10" s="22" t="inlineStr">
        <is>
          <t>$1,950</t>
        </is>
      </c>
    </row>
    <row r="11">
      <c r="A11" s="23" t="inlineStr">
        <is>
          <t>2013-10</t>
        </is>
      </c>
      <c r="B11" s="24" t="n">
        <v>37515.72</v>
      </c>
      <c r="C11" s="23" t="n">
        <v>26</v>
      </c>
      <c r="D11" s="24">
        <f>B11/C11</f>
        <v/>
      </c>
      <c r="E11" s="23" t="inlineStr">
        <is>
          <t>H2 only</t>
        </is>
      </c>
    </row>
    <row r="12" ht="20" customHeight="1">
      <c r="A12" s="20" t="inlineStr">
        <is>
          <t>2013-11</t>
        </is>
      </c>
      <c r="B12" s="21" t="n">
        <v>45600.04</v>
      </c>
      <c r="C12" s="20" t="n">
        <v>25</v>
      </c>
      <c r="D12" s="21">
        <f>B12/C12</f>
        <v/>
      </c>
      <c r="E12" s="20" t="inlineStr">
        <is>
          <t>H2 only</t>
        </is>
      </c>
      <c r="G12" s="2" t="inlineStr">
        <is>
          <t>KEY SALES INSIGHTS</t>
        </is>
      </c>
    </row>
    <row r="13" ht="18" customHeight="1">
      <c r="A13" s="23" t="inlineStr">
        <is>
          <t>2013-12</t>
        </is>
      </c>
      <c r="B13" s="24" t="n">
        <v>45239.63</v>
      </c>
      <c r="C13" s="23" t="n">
        <v>31</v>
      </c>
      <c r="D13" s="24">
        <f>B13/C13</f>
        <v/>
      </c>
      <c r="E13" s="23" t="inlineStr">
        <is>
          <t>H2 only</t>
        </is>
      </c>
      <c r="G13" s="25" t="inlineStr">
        <is>
          <t>• 2015 annualizing at ~$1.06M — 71% growth over full-year 2014.</t>
        </is>
      </c>
    </row>
    <row r="14" ht="18" customHeight="1">
      <c r="A14" s="20" t="inlineStr">
        <is>
          <t>2014-01</t>
        </is>
      </c>
      <c r="B14" s="21" t="n">
        <v>61258.07</v>
      </c>
      <c r="C14" s="20" t="n">
        <v>33</v>
      </c>
      <c r="D14" s="21">
        <f>B14/C14</f>
        <v/>
      </c>
      <c r="E14" s="20" t="inlineStr"/>
      <c r="G14" s="26" t="inlineStr">
        <is>
          <t>• Avg order value rose from $1,062 (2013) to $1,950 (2015).</t>
        </is>
      </c>
    </row>
    <row r="15" ht="18" customHeight="1">
      <c r="A15" s="23" t="inlineStr">
        <is>
          <t>2014-02</t>
        </is>
      </c>
      <c r="B15" s="24" t="n">
        <v>38483.64</v>
      </c>
      <c r="C15" s="23" t="n">
        <v>29</v>
      </c>
      <c r="D15" s="24">
        <f>B15/C15</f>
        <v/>
      </c>
      <c r="E15" s="23" t="inlineStr"/>
      <c r="G15" s="25" t="inlineStr">
        <is>
          <t>• Q4 seasonality: Nov–Dec ≈ 20% of annual revenue each year.</t>
        </is>
      </c>
    </row>
    <row r="16" ht="18" customHeight="1">
      <c r="A16" s="20" t="inlineStr">
        <is>
          <t>2014-03</t>
        </is>
      </c>
      <c r="B16" s="21" t="n">
        <v>38547.22</v>
      </c>
      <c r="C16" s="20" t="n">
        <v>30</v>
      </c>
      <c r="D16" s="21">
        <f>B16/C16</f>
        <v/>
      </c>
      <c r="E16" s="20" t="inlineStr"/>
      <c r="G16" s="26" t="inlineStr">
        <is>
          <t>• $88,666 in discounts applied — 6.5% gross revenue impact on margin.</t>
        </is>
      </c>
    </row>
    <row r="17" ht="18" customHeight="1">
      <c r="A17" s="23" t="inlineStr">
        <is>
          <t>2014-04</t>
        </is>
      </c>
      <c r="B17" s="24" t="n">
        <v>53032.95</v>
      </c>
      <c r="C17" s="23" t="n">
        <v>31</v>
      </c>
      <c r="D17" s="24">
        <f>B17/C17</f>
        <v/>
      </c>
      <c r="E17" s="23" t="inlineStr"/>
      <c r="G17" s="25" t="inlineStr">
        <is>
          <t>• April 2015 = single highest month: $123,799 revenue.</t>
        </is>
      </c>
    </row>
    <row r="18" ht="18" customHeight="1">
      <c r="A18" s="20" t="inlineStr">
        <is>
          <t>2014-05</t>
        </is>
      </c>
      <c r="B18" s="21" t="n">
        <v>53781.29</v>
      </c>
      <c r="C18" s="20" t="n">
        <v>32</v>
      </c>
      <c r="D18" s="21">
        <f>B18/C18</f>
        <v/>
      </c>
      <c r="E18" s="20" t="inlineStr"/>
      <c r="G18" s="26" t="inlineStr">
        <is>
          <t>• 2015 avg order value is highest across all 3 years at $1,950.</t>
        </is>
      </c>
    </row>
    <row r="19">
      <c r="A19" s="23" t="inlineStr">
        <is>
          <t>2014-06</t>
        </is>
      </c>
      <c r="B19" s="24" t="n">
        <v>36362.8</v>
      </c>
      <c r="C19" s="23" t="n">
        <v>30</v>
      </c>
      <c r="D19" s="24">
        <f>B19/C19</f>
        <v/>
      </c>
      <c r="E19" s="23" t="inlineStr"/>
    </row>
    <row r="20">
      <c r="A20" s="20" t="inlineStr">
        <is>
          <t>2014-07</t>
        </is>
      </c>
      <c r="B20" s="21" t="n">
        <v>51020.86</v>
      </c>
      <c r="C20" s="20" t="n">
        <v>33</v>
      </c>
      <c r="D20" s="21">
        <f>B20/C20</f>
        <v/>
      </c>
      <c r="E20" s="20" t="inlineStr"/>
    </row>
    <row r="21">
      <c r="A21" s="23" t="inlineStr">
        <is>
          <t>2014-08</t>
        </is>
      </c>
      <c r="B21" s="24" t="n">
        <v>47287.67</v>
      </c>
      <c r="C21" s="23" t="n">
        <v>33</v>
      </c>
      <c r="D21" s="24">
        <f>B21/C21</f>
        <v/>
      </c>
      <c r="E21" s="23" t="inlineStr"/>
    </row>
    <row r="22">
      <c r="A22" s="20" t="inlineStr">
        <is>
          <t>2014-09</t>
        </is>
      </c>
      <c r="B22" s="21" t="n">
        <v>55629.24</v>
      </c>
      <c r="C22" s="20" t="n">
        <v>37</v>
      </c>
      <c r="D22" s="21">
        <f>B22/C22</f>
        <v/>
      </c>
      <c r="E22" s="20" t="inlineStr"/>
    </row>
    <row r="23">
      <c r="A23" s="23" t="inlineStr">
        <is>
          <t>2014-10</t>
        </is>
      </c>
      <c r="B23" s="24" t="n">
        <v>66749.23</v>
      </c>
      <c r="C23" s="23" t="n">
        <v>38</v>
      </c>
      <c r="D23" s="24">
        <f>B23/C23</f>
        <v/>
      </c>
      <c r="E23" s="23" t="inlineStr"/>
    </row>
    <row r="24">
      <c r="A24" s="20" t="inlineStr">
        <is>
          <t>2014-11</t>
        </is>
      </c>
      <c r="B24" s="21" t="n">
        <v>43533.81</v>
      </c>
      <c r="C24" s="20" t="n">
        <v>34</v>
      </c>
      <c r="D24" s="21">
        <f>B24/C24</f>
        <v/>
      </c>
      <c r="E24" s="20" t="inlineStr"/>
    </row>
    <row r="25">
      <c r="A25" s="23" t="inlineStr">
        <is>
          <t>2014-12</t>
        </is>
      </c>
      <c r="B25" s="24" t="n">
        <v>71398.42999999999</v>
      </c>
      <c r="C25" s="23" t="n">
        <v>48</v>
      </c>
      <c r="D25" s="24">
        <f>B25/C25</f>
        <v/>
      </c>
      <c r="E25" s="23" t="inlineStr"/>
    </row>
    <row r="26">
      <c r="A26" s="20" t="inlineStr">
        <is>
          <t>2015-01</t>
        </is>
      </c>
      <c r="B26" s="21" t="n">
        <v>94222.11</v>
      </c>
      <c r="C26" s="20" t="n">
        <v>55</v>
      </c>
      <c r="D26" s="21">
        <f>B26/C26</f>
        <v/>
      </c>
      <c r="E26" s="20" t="inlineStr"/>
    </row>
    <row r="27">
      <c r="A27" s="23" t="inlineStr">
        <is>
          <t>2015-02</t>
        </is>
      </c>
      <c r="B27" s="24" t="n">
        <v>99415.28999999999</v>
      </c>
      <c r="C27" s="23" t="n">
        <v>54</v>
      </c>
      <c r="D27" s="24">
        <f>B27/C27</f>
        <v/>
      </c>
      <c r="E27" s="23" t="inlineStr"/>
    </row>
    <row r="28">
      <c r="A28" s="20" t="inlineStr">
        <is>
          <t>2015-03</t>
        </is>
      </c>
      <c r="B28" s="21" t="n">
        <v>104854.16</v>
      </c>
      <c r="C28" s="20" t="n">
        <v>73</v>
      </c>
      <c r="D28" s="21">
        <f>B28/C28</f>
        <v/>
      </c>
      <c r="E28" s="20" t="inlineStr"/>
    </row>
    <row r="29">
      <c r="A29" s="23" t="inlineStr">
        <is>
          <t>2015-04</t>
        </is>
      </c>
      <c r="B29" s="24" t="n">
        <v>123798.68</v>
      </c>
      <c r="C29" s="23" t="n">
        <v>74</v>
      </c>
      <c r="D29" s="24">
        <f>B29/C29</f>
        <v/>
      </c>
      <c r="E29" s="23" t="inlineStr"/>
    </row>
    <row r="30">
      <c r="A30" s="20" t="inlineStr">
        <is>
          <t>2015-05</t>
        </is>
      </c>
      <c r="B30" s="21" t="n">
        <v>18333.63</v>
      </c>
      <c r="C30" s="20" t="n">
        <v>14</v>
      </c>
      <c r="D30" s="21">
        <f>B30/C30</f>
        <v/>
      </c>
      <c r="E30" s="20" t="inlineStr">
        <is>
          <t>Jan–May only</t>
        </is>
      </c>
    </row>
    <row r="31">
      <c r="A31" s="27" t="inlineStr">
        <is>
          <t>TOTAL</t>
        </is>
      </c>
      <c r="B31" s="28">
        <f>SUM(B8:B30)</f>
        <v/>
      </c>
      <c r="C31" s="27">
        <f>SUM(C8:C30)</f>
        <v/>
      </c>
      <c r="D31" s="27" t="inlineStr"/>
      <c r="E31" s="27" t="inlineStr"/>
    </row>
  </sheetData>
  <mergeCells count="18">
    <mergeCell ref="G17:K17"/>
    <mergeCell ref="M4:P4"/>
    <mergeCell ref="E3:H3"/>
    <mergeCell ref="M3:P3"/>
    <mergeCell ref="A1:P1"/>
    <mergeCell ref="A4:D4"/>
    <mergeCell ref="I3:L3"/>
    <mergeCell ref="A3:D3"/>
    <mergeCell ref="E4:H4"/>
    <mergeCell ref="I4:L4"/>
    <mergeCell ref="G12:K12"/>
    <mergeCell ref="G14:K14"/>
    <mergeCell ref="G16:K16"/>
    <mergeCell ref="G13:K13"/>
    <mergeCell ref="A6:E6"/>
    <mergeCell ref="G6:K6"/>
    <mergeCell ref="G15:K15"/>
    <mergeCell ref="G18:K18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9" customWidth="1" min="3" max="3"/>
    <col width="16" customWidth="1" min="4" max="4"/>
    <col width="8" customWidth="1" min="5" max="5"/>
    <col width="2" customWidth="1" min="6" max="6"/>
    <col width="30" customWidth="1" min="7" max="7"/>
    <col width="20" customWidth="1" min="8" max="8"/>
    <col width="2" customWidth="1" min="9" max="9"/>
    <col width="2" customWidth="1" min="10" max="10"/>
  </cols>
  <sheetData>
    <row r="1" ht="28" customHeight="1">
      <c r="A1" s="29" t="inlineStr">
        <is>
          <t>PAGE 2: PRODUCT &amp; CATEGORY INTELLIGENCE</t>
        </is>
      </c>
    </row>
    <row r="3" ht="20" customHeight="1">
      <c r="A3" s="16" t="inlineStr">
        <is>
          <t>REVENUE BY PRODUCT CATEGORY</t>
        </is>
      </c>
      <c r="G3" s="30" t="inlineStr">
        <is>
          <t>DISCONTINUED PRODUCTS IMPACT</t>
        </is>
      </c>
    </row>
    <row r="4">
      <c r="A4" s="18" t="inlineStr">
        <is>
          <t>Category</t>
        </is>
      </c>
      <c r="B4" s="18" t="inlineStr">
        <is>
          <t>Revenue (USD)</t>
        </is>
      </c>
      <c r="C4" s="18" t="inlineStr">
        <is>
          <t>Share %</t>
        </is>
      </c>
      <c r="D4" s="18" t="inlineStr">
        <is>
          <t>Status</t>
        </is>
      </c>
      <c r="E4" s="18" t="inlineStr">
        <is>
          <t>Rank</t>
        </is>
      </c>
      <c r="G4" s="31" t="inlineStr">
        <is>
          <t>Metric</t>
        </is>
      </c>
      <c r="H4" s="31" t="inlineStr">
        <is>
          <t>Value</t>
        </is>
      </c>
    </row>
    <row r="5">
      <c r="A5" s="32" t="inlineStr">
        <is>
          <t>Beverages</t>
        </is>
      </c>
      <c r="B5" s="21" t="n">
        <v>267868.18</v>
      </c>
      <c r="C5" s="20" t="inlineStr">
        <is>
          <t>21.2%</t>
        </is>
      </c>
      <c r="D5" s="33" t="inlineStr">
        <is>
          <t>Top Performer</t>
        </is>
      </c>
      <c r="E5" s="20" t="n">
        <v>1</v>
      </c>
      <c r="G5" s="34" t="inlineStr">
        <is>
          <t>Total Products in Catalogue</t>
        </is>
      </c>
      <c r="H5" s="35" t="inlineStr">
        <is>
          <t>77</t>
        </is>
      </c>
    </row>
    <row r="6">
      <c r="A6" s="36" t="inlineStr">
        <is>
          <t>Dairy Products</t>
        </is>
      </c>
      <c r="B6" s="24" t="n">
        <v>234507.28</v>
      </c>
      <c r="C6" s="23" t="inlineStr">
        <is>
          <t>18.5%</t>
        </is>
      </c>
      <c r="D6" s="37" t="inlineStr">
        <is>
          <t>Strong</t>
        </is>
      </c>
      <c r="E6" s="23" t="n">
        <v>2</v>
      </c>
      <c r="G6" s="36" t="inlineStr">
        <is>
          <t>Discontinued Products</t>
        </is>
      </c>
      <c r="H6" s="23" t="inlineStr">
        <is>
          <t>8  (10.4%)</t>
        </is>
      </c>
    </row>
    <row r="7">
      <c r="A7" s="32" t="inlineStr">
        <is>
          <t>Confections</t>
        </is>
      </c>
      <c r="B7" s="21" t="n">
        <v>167357.22</v>
      </c>
      <c r="C7" s="20" t="inlineStr">
        <is>
          <t>13.2%</t>
        </is>
      </c>
      <c r="D7" s="38" t="inlineStr">
        <is>
          <t>Growing</t>
        </is>
      </c>
      <c r="E7" s="20" t="n">
        <v>3</v>
      </c>
      <c r="G7" s="34" t="inlineStr">
        <is>
          <t>Active Products</t>
        </is>
      </c>
      <c r="H7" s="35" t="inlineStr">
        <is>
          <t>69  (89.6%)</t>
        </is>
      </c>
    </row>
    <row r="8">
      <c r="A8" s="36" t="inlineStr">
        <is>
          <t>Meat &amp; Poultry</t>
        </is>
      </c>
      <c r="B8" s="24" t="n">
        <v>163022.36</v>
      </c>
      <c r="C8" s="23" t="inlineStr">
        <is>
          <t>12.9%</t>
        </is>
      </c>
      <c r="D8" s="39" t="inlineStr">
        <is>
          <t>Stable</t>
        </is>
      </c>
      <c r="E8" s="23" t="n">
        <v>4</v>
      </c>
      <c r="G8" s="36" t="inlineStr">
        <is>
          <t>Est. Revenue Lost (discontinued)</t>
        </is>
      </c>
      <c r="H8" s="23" t="inlineStr">
        <is>
          <t>$90,000+</t>
        </is>
      </c>
    </row>
    <row r="9">
      <c r="A9" s="32" t="inlineStr">
        <is>
          <t>Seafood</t>
        </is>
      </c>
      <c r="B9" s="21" t="n">
        <v>131261.74</v>
      </c>
      <c r="C9" s="20" t="inlineStr">
        <is>
          <t>10.4%</t>
        </is>
      </c>
      <c r="D9" s="40" t="inlineStr">
        <is>
          <t>Stable</t>
        </is>
      </c>
      <c r="E9" s="20" t="n">
        <v>5</v>
      </c>
      <c r="G9" s="34" t="inlineStr">
        <is>
          <t>Top Affected Categories</t>
        </is>
      </c>
      <c r="H9" s="35" t="inlineStr">
        <is>
          <t>Beverages &amp; Dairy</t>
        </is>
      </c>
    </row>
    <row r="10">
      <c r="A10" s="36" t="inlineStr">
        <is>
          <t>Condiments</t>
        </is>
      </c>
      <c r="B10" s="24" t="n">
        <v>106047.08</v>
      </c>
      <c r="C10" s="23" t="inlineStr">
        <is>
          <t>8.4%</t>
        </is>
      </c>
      <c r="D10" s="41" t="inlineStr">
        <is>
          <t>Moderate</t>
        </is>
      </c>
      <c r="E10" s="23" t="n">
        <v>6</v>
      </c>
      <c r="G10" s="36" t="inlineStr">
        <is>
          <t>Recommendation</t>
        </is>
      </c>
      <c r="H10" s="23" t="inlineStr">
        <is>
          <t>Evaluate reintroduction</t>
        </is>
      </c>
    </row>
    <row r="11">
      <c r="A11" s="32" t="inlineStr">
        <is>
          <t>Produce</t>
        </is>
      </c>
      <c r="B11" s="21" t="n">
        <v>99984.58</v>
      </c>
      <c r="C11" s="20" t="inlineStr">
        <is>
          <t>7.9%</t>
        </is>
      </c>
      <c r="D11" s="42" t="inlineStr">
        <is>
          <t>Watch</t>
        </is>
      </c>
      <c r="E11" s="20" t="n">
        <v>7</v>
      </c>
    </row>
    <row r="12" ht="20" customHeight="1">
      <c r="A12" s="36" t="inlineStr">
        <is>
          <t>Grains &amp; Cereals</t>
        </is>
      </c>
      <c r="B12" s="24" t="n">
        <v>95744.59</v>
      </c>
      <c r="C12" s="23" t="inlineStr">
        <is>
          <t>7.6%</t>
        </is>
      </c>
      <c r="D12" s="43" t="inlineStr">
        <is>
          <t>Lowest</t>
        </is>
      </c>
      <c r="E12" s="23" t="n">
        <v>8</v>
      </c>
      <c r="G12" s="17" t="inlineStr">
        <is>
          <t>DISCOUNT STRATEGY IMPACT ON MARGINS</t>
        </is>
      </c>
    </row>
    <row r="13">
      <c r="A13" s="27" t="inlineStr">
        <is>
          <t>TOTAL</t>
        </is>
      </c>
      <c r="B13" s="28">
        <f>SUM(B5:B12)</f>
        <v/>
      </c>
      <c r="C13" s="27" t="inlineStr">
        <is>
          <t>100%</t>
        </is>
      </c>
      <c r="D13" s="27" t="inlineStr"/>
      <c r="E13" s="27" t="inlineStr"/>
      <c r="G13" s="19" t="inlineStr">
        <is>
          <t>Metric</t>
        </is>
      </c>
      <c r="H13" s="19" t="inlineStr">
        <is>
          <t>Value</t>
        </is>
      </c>
    </row>
    <row r="14">
      <c r="G14" s="44" t="inlineStr">
        <is>
          <t>Gross Revenue (before discounts)</t>
        </is>
      </c>
      <c r="H14" s="22" t="inlineStr">
        <is>
          <t>$1,354,458.59</t>
        </is>
      </c>
    </row>
    <row r="15">
      <c r="G15" s="36" t="inlineStr">
        <is>
          <t>Net Revenue (after discounts)</t>
        </is>
      </c>
      <c r="H15" s="23" t="inlineStr">
        <is>
          <t>$1,265,793.04</t>
        </is>
      </c>
    </row>
    <row r="16">
      <c r="G16" s="44" t="inlineStr">
        <is>
          <t>Total Discount Revenue Lost</t>
        </is>
      </c>
      <c r="H16" s="22" t="inlineStr">
        <is>
          <t>$88,665.55</t>
        </is>
      </c>
    </row>
    <row r="17">
      <c r="G17" s="36" t="inlineStr">
        <is>
          <t>Discount as % of Gross Revenue</t>
        </is>
      </c>
      <c r="H17" s="23" t="inlineStr">
        <is>
          <t>6.5%</t>
        </is>
      </c>
    </row>
    <row r="18">
      <c r="G18" s="44" t="inlineStr">
        <is>
          <t>Most Discounted Categories</t>
        </is>
      </c>
      <c r="H18" s="22" t="inlineStr">
        <is>
          <t>Confections &amp; Seafood</t>
        </is>
      </c>
    </row>
    <row r="19">
      <c r="G19" s="36" t="inlineStr">
        <is>
          <t>Policy Recommendation</t>
        </is>
      </c>
      <c r="H19" s="23" t="inlineStr">
        <is>
          <t>Max 15% discount ceiling</t>
        </is>
      </c>
    </row>
  </sheetData>
  <mergeCells count="16">
    <mergeCell ref="A1:N1"/>
    <mergeCell ref="H15:J15"/>
    <mergeCell ref="H16:J16"/>
    <mergeCell ref="H10:J10"/>
    <mergeCell ref="G3:J3"/>
    <mergeCell ref="H18:J18"/>
    <mergeCell ref="H14:J14"/>
    <mergeCell ref="H5:J5"/>
    <mergeCell ref="H19:J19"/>
    <mergeCell ref="G12:J12"/>
    <mergeCell ref="H8:J8"/>
    <mergeCell ref="A3:E3"/>
    <mergeCell ref="H9:J9"/>
    <mergeCell ref="H17:J17"/>
    <mergeCell ref="H7:J7"/>
    <mergeCell ref="H6:J6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3" customWidth="1" min="4" max="4"/>
    <col width="20" customWidth="1" min="5" max="5"/>
    <col width="2" customWidth="1" min="6" max="6"/>
    <col width="8" customWidth="1" min="7" max="7"/>
    <col width="22" customWidth="1" min="8" max="8"/>
    <col width="13" customWidth="1" min="9" max="9"/>
    <col width="15" customWidth="1" min="10" max="10"/>
    <col width="22" customWidth="1" min="11" max="11"/>
  </cols>
  <sheetData>
    <row r="1" ht="28" customHeight="1">
      <c r="A1" s="45" t="inlineStr">
        <is>
          <t>PAGE 3: REGIONAL, OPERATIONAL &amp; PEOPLE PERFORMANCE</t>
        </is>
      </c>
    </row>
    <row r="3" ht="20" customHeight="1">
      <c r="A3" s="17" t="inlineStr">
        <is>
          <t>TOP 10 COUNTRIES BY REVENUE</t>
        </is>
      </c>
      <c r="G3" s="30" t="inlineStr">
        <is>
          <t>SHIPPER PERFORMANCE COMPARISON</t>
        </is>
      </c>
    </row>
    <row r="4">
      <c r="A4" s="19" t="inlineStr">
        <is>
          <t>Country</t>
        </is>
      </c>
      <c r="B4" s="19" t="inlineStr">
        <is>
          <t>Revenue</t>
        </is>
      </c>
      <c r="C4" s="19" t="inlineStr">
        <is>
          <t>Share %</t>
        </is>
      </c>
      <c r="D4" s="19" t="inlineStr">
        <is>
          <t>Avg Freight</t>
        </is>
      </c>
      <c r="E4" s="19" t="inlineStr">
        <is>
          <t>Insight</t>
        </is>
      </c>
      <c r="G4" s="31" t="inlineStr">
        <is>
          <t>Shipper</t>
        </is>
      </c>
      <c r="H4" s="31" t="inlineStr">
        <is>
          <t>Orders</t>
        </is>
      </c>
      <c r="I4" s="31" t="inlineStr">
        <is>
          <t>Avg Freight</t>
        </is>
      </c>
      <c r="J4" s="31" t="inlineStr">
        <is>
          <t>Total Freight</t>
        </is>
      </c>
      <c r="K4" s="31" t="inlineStr">
        <is>
          <t>Assessment</t>
        </is>
      </c>
    </row>
    <row r="5">
      <c r="A5" s="44" t="inlineStr">
        <is>
          <t>USA</t>
        </is>
      </c>
      <c r="B5" s="46" t="n">
        <v>245584.61</v>
      </c>
      <c r="C5" s="22" t="inlineStr">
        <is>
          <t>23.1%</t>
        </is>
      </c>
      <c r="D5" s="22" t="inlineStr">
        <is>
          <t>$112.88</t>
        </is>
      </c>
      <c r="E5" s="47" t="inlineStr">
        <is>
          <t>Largest market</t>
        </is>
      </c>
      <c r="G5" s="34" t="inlineStr">
        <is>
          <t>United Package</t>
        </is>
      </c>
      <c r="H5" s="35" t="n">
        <v>326</v>
      </c>
      <c r="I5" s="35" t="inlineStr">
        <is>
          <t>$86.64</t>
        </is>
      </c>
      <c r="J5" s="48" t="n">
        <v>28244.85</v>
      </c>
      <c r="K5" s="49" t="inlineStr">
        <is>
          <t>Highest volume, highest cost</t>
        </is>
      </c>
    </row>
    <row r="6">
      <c r="A6" s="36" t="inlineStr">
        <is>
          <t>Germany</t>
        </is>
      </c>
      <c r="B6" s="24" t="n">
        <v>230284.63</v>
      </c>
      <c r="C6" s="23" t="inlineStr">
        <is>
          <t>21.7%</t>
        </is>
      </c>
      <c r="D6" s="23" t="inlineStr">
        <is>
          <t>$92.49</t>
        </is>
      </c>
      <c r="E6" s="50" t="inlineStr">
        <is>
          <t>Strong performer</t>
        </is>
      </c>
      <c r="G6" s="36" t="inlineStr">
        <is>
          <t>Federal Shipping</t>
        </is>
      </c>
      <c r="H6" s="23" t="n">
        <v>255</v>
      </c>
      <c r="I6" s="23" t="inlineStr">
        <is>
          <t>$80.44</t>
        </is>
      </c>
      <c r="J6" s="24" t="n">
        <v>20512.51</v>
      </c>
      <c r="K6" s="51" t="inlineStr">
        <is>
          <t>Balanced performer</t>
        </is>
      </c>
    </row>
    <row r="7">
      <c r="A7" s="44" t="inlineStr">
        <is>
          <t>Austria</t>
        </is>
      </c>
      <c r="B7" s="46" t="n">
        <v>128003.84</v>
      </c>
      <c r="C7" s="22" t="inlineStr">
        <is>
          <t>12.0%</t>
        </is>
      </c>
      <c r="D7" s="22" t="inlineStr">
        <is>
          <t>$184.79</t>
        </is>
      </c>
      <c r="E7" s="47" t="inlineStr">
        <is>
          <t>High freight—review</t>
        </is>
      </c>
      <c r="G7" s="34" t="inlineStr">
        <is>
          <t>Speedy Express</t>
        </is>
      </c>
      <c r="H7" s="35" t="n">
        <v>249</v>
      </c>
      <c r="I7" s="35" t="inlineStr">
        <is>
          <t>$65.00</t>
        </is>
      </c>
      <c r="J7" s="48" t="n">
        <v>16185.33</v>
      </c>
      <c r="K7" s="52" t="inlineStr">
        <is>
          <t>Most cost-efficient</t>
        </is>
      </c>
    </row>
    <row r="8">
      <c r="A8" s="36" t="inlineStr">
        <is>
          <t>Brazil</t>
        </is>
      </c>
      <c r="B8" s="24" t="n">
        <v>106925.78</v>
      </c>
      <c r="C8" s="23" t="inlineStr">
        <is>
          <t>10.1%</t>
        </is>
      </c>
      <c r="D8" s="23" t="inlineStr">
        <is>
          <t>$58.80</t>
        </is>
      </c>
      <c r="E8" s="50" t="inlineStr">
        <is>
          <t>Cost-efficient</t>
        </is>
      </c>
    </row>
    <row r="9">
      <c r="A9" s="44" t="inlineStr">
        <is>
          <t>France</t>
        </is>
      </c>
      <c r="B9" s="46" t="n">
        <v>81358.32000000001</v>
      </c>
      <c r="C9" s="22" t="inlineStr">
        <is>
          <t>7.7%</t>
        </is>
      </c>
      <c r="D9" s="22" t="inlineStr">
        <is>
          <t>$55.04</t>
        </is>
      </c>
      <c r="E9" s="47" t="inlineStr">
        <is>
          <t>Growing</t>
        </is>
      </c>
    </row>
    <row r="10" ht="20" customHeight="1">
      <c r="A10" s="36" t="inlineStr">
        <is>
          <t>UK</t>
        </is>
      </c>
      <c r="B10" s="24" t="n">
        <v>58971.31</v>
      </c>
      <c r="C10" s="23" t="inlineStr">
        <is>
          <t>5.5%</t>
        </is>
      </c>
      <c r="D10" s="23" t="inlineStr">
        <is>
          <t>$52.75</t>
        </is>
      </c>
      <c r="E10" s="50" t="inlineStr">
        <is>
          <t>Stable</t>
        </is>
      </c>
      <c r="G10" s="16" t="inlineStr">
        <is>
          <t>EMPLOYEE SALES PERFORMANCE RANKING</t>
        </is>
      </c>
    </row>
    <row r="11">
      <c r="A11" s="44" t="inlineStr">
        <is>
          <t>Venezuela</t>
        </is>
      </c>
      <c r="B11" s="46" t="n">
        <v>56810.63</v>
      </c>
      <c r="C11" s="22" t="inlineStr">
        <is>
          <t>5.3%</t>
        </is>
      </c>
      <c r="D11" s="22" t="inlineStr">
        <is>
          <t>$59.46</t>
        </is>
      </c>
      <c r="E11" s="47" t="inlineStr">
        <is>
          <t>Emerging</t>
        </is>
      </c>
      <c r="G11" s="18" t="inlineStr">
        <is>
          <t>Rank</t>
        </is>
      </c>
      <c r="H11" s="18" t="inlineStr">
        <is>
          <t>Employee</t>
        </is>
      </c>
      <c r="I11" s="18" t="inlineStr">
        <is>
          <t>Revenue</t>
        </is>
      </c>
      <c r="J11" s="18" t="inlineStr">
        <is>
          <t>Share %</t>
        </is>
      </c>
      <c r="K11" s="18" t="inlineStr">
        <is>
          <t>Status</t>
        </is>
      </c>
    </row>
    <row r="12">
      <c r="A12" s="36" t="inlineStr">
        <is>
          <t>Sweden</t>
        </is>
      </c>
      <c r="B12" s="24" t="n">
        <v>54495.14</v>
      </c>
      <c r="C12" s="23" t="inlineStr">
        <is>
          <t>5.1%</t>
        </is>
      </c>
      <c r="D12" s="23" t="inlineStr">
        <is>
          <t>$87.50</t>
        </is>
      </c>
      <c r="E12" s="50" t="inlineStr">
        <is>
          <t>Nordic growth</t>
        </is>
      </c>
      <c r="G12" s="20" t="n">
        <v>1</v>
      </c>
      <c r="H12" s="32" t="inlineStr">
        <is>
          <t>Margaret Peacock</t>
        </is>
      </c>
      <c r="I12" s="21" t="n">
        <v>232890.85</v>
      </c>
      <c r="J12" s="20" t="inlineStr">
        <is>
          <t>18.4%</t>
        </is>
      </c>
      <c r="K12" s="33" t="inlineStr">
        <is>
          <t>Top Performer</t>
        </is>
      </c>
    </row>
    <row r="13">
      <c r="A13" s="44" t="inlineStr">
        <is>
          <t>Canada</t>
        </is>
      </c>
      <c r="B13" s="46" t="n">
        <v>50196.29</v>
      </c>
      <c r="C13" s="22" t="inlineStr">
        <is>
          <t>4.7%</t>
        </is>
      </c>
      <c r="D13" s="22" t="inlineStr">
        <is>
          <t>$73.27</t>
        </is>
      </c>
      <c r="E13" s="47" t="inlineStr">
        <is>
          <t>Steady growth</t>
        </is>
      </c>
      <c r="G13" s="23" t="n">
        <v>2</v>
      </c>
      <c r="H13" s="50" t="inlineStr">
        <is>
          <t>Janet Leverling</t>
        </is>
      </c>
      <c r="I13" s="24" t="n">
        <v>202812.84</v>
      </c>
      <c r="J13" s="23" t="inlineStr">
        <is>
          <t>16.0%</t>
        </is>
      </c>
      <c r="K13" s="37" t="inlineStr">
        <is>
          <t>High Achiever</t>
        </is>
      </c>
    </row>
    <row r="14">
      <c r="A14" s="36" t="inlineStr">
        <is>
          <t>Ireland</t>
        </is>
      </c>
      <c r="B14" s="24" t="n">
        <v>49979.9</v>
      </c>
      <c r="C14" s="23" t="inlineStr">
        <is>
          <t>4.7%</t>
        </is>
      </c>
      <c r="D14" s="23" t="inlineStr">
        <is>
          <t>$145.01</t>
        </is>
      </c>
      <c r="E14" s="50" t="inlineStr">
        <is>
          <t>High freight—review</t>
        </is>
      </c>
      <c r="G14" s="20" t="n">
        <v>3</v>
      </c>
      <c r="H14" s="53" t="inlineStr">
        <is>
          <t>Nancy Davolio</t>
        </is>
      </c>
      <c r="I14" s="21" t="n">
        <v>192107.6</v>
      </c>
      <c r="J14" s="20" t="inlineStr">
        <is>
          <t>15.2%</t>
        </is>
      </c>
      <c r="K14" s="38" t="inlineStr">
        <is>
          <t>Strong</t>
        </is>
      </c>
    </row>
    <row r="15">
      <c r="G15" s="23" t="n">
        <v>4</v>
      </c>
      <c r="H15" s="50" t="inlineStr">
        <is>
          <t>Andrew Fuller</t>
        </is>
      </c>
      <c r="I15" s="24" t="n">
        <v>166537.76</v>
      </c>
      <c r="J15" s="23" t="inlineStr">
        <is>
          <t>13.2%</t>
        </is>
      </c>
      <c r="K15" s="39" t="inlineStr">
        <is>
          <t>Above Average</t>
        </is>
      </c>
    </row>
    <row r="16">
      <c r="G16" s="20" t="n">
        <v>5</v>
      </c>
      <c r="H16" s="53" t="inlineStr">
        <is>
          <t>Laura Callahan</t>
        </is>
      </c>
      <c r="I16" s="21" t="n">
        <v>126862.28</v>
      </c>
      <c r="J16" s="20" t="inlineStr">
        <is>
          <t>10.0%</t>
        </is>
      </c>
      <c r="K16" s="54" t="inlineStr">
        <is>
          <t>Average</t>
        </is>
      </c>
    </row>
    <row r="17">
      <c r="G17" s="23" t="n">
        <v>6</v>
      </c>
      <c r="H17" s="50" t="inlineStr">
        <is>
          <t>Robert King</t>
        </is>
      </c>
      <c r="I17" s="24" t="n">
        <v>124568.24</v>
      </c>
      <c r="J17" s="23" t="inlineStr">
        <is>
          <t>9.8%</t>
        </is>
      </c>
      <c r="K17" s="55" t="inlineStr">
        <is>
          <t>Average</t>
        </is>
      </c>
    </row>
    <row r="18">
      <c r="G18" s="20" t="n">
        <v>7</v>
      </c>
      <c r="H18" s="53" t="inlineStr">
        <is>
          <t>Anne Dodsworth</t>
        </is>
      </c>
      <c r="I18" s="21" t="n">
        <v>77308.07000000001</v>
      </c>
      <c r="J18" s="20" t="inlineStr">
        <is>
          <t>6.1%</t>
        </is>
      </c>
      <c r="K18" s="42" t="inlineStr">
        <is>
          <t>Below Average</t>
        </is>
      </c>
    </row>
    <row r="19">
      <c r="G19" s="23" t="n">
        <v>8</v>
      </c>
      <c r="H19" s="50" t="inlineStr">
        <is>
          <t>Michael Suyama</t>
        </is>
      </c>
      <c r="I19" s="24" t="n">
        <v>73913.13</v>
      </c>
      <c r="J19" s="23" t="inlineStr">
        <is>
          <t>5.8%</t>
        </is>
      </c>
      <c r="K19" s="56" t="inlineStr">
        <is>
          <t>Below Average</t>
        </is>
      </c>
    </row>
    <row r="20">
      <c r="G20" s="20" t="n">
        <v>9</v>
      </c>
      <c r="H20" s="53" t="inlineStr">
        <is>
          <t>Steven Buchanan</t>
        </is>
      </c>
      <c r="I20" s="21" t="n">
        <v>68792.28</v>
      </c>
      <c r="J20" s="20" t="inlineStr">
        <is>
          <t>5.4%</t>
        </is>
      </c>
      <c r="K20" s="57" t="inlineStr">
        <is>
          <t>Lowest</t>
        </is>
      </c>
    </row>
    <row r="23" ht="22" customHeight="1">
      <c r="A23" s="10" t="inlineStr">
        <is>
          <t>STRATEGIC RECOMMENDATIONS</t>
        </is>
      </c>
    </row>
    <row r="24">
      <c r="A24" s="27" t="inlineStr">
        <is>
          <t>Area</t>
        </is>
      </c>
      <c r="B24" s="27" t="inlineStr">
        <is>
          <t>Recommendation</t>
        </is>
      </c>
    </row>
    <row r="25" ht="32" customHeight="1">
      <c r="A25" s="32" t="inlineStr">
        <is>
          <t>Freight Optimization</t>
        </is>
      </c>
      <c r="B25" s="25" t="inlineStr">
        <is>
          <t>Austria ($184) and Ireland ($145) have disproportionately high avg freight vs revenue. Renegotiate or consolidate shipments — potential 10–15% savings.</t>
        </is>
      </c>
    </row>
    <row r="26" ht="32" customHeight="1">
      <c r="A26" s="36" t="inlineStr">
        <is>
          <t>Shipper Strategy</t>
        </is>
      </c>
      <c r="B26" s="26" t="inlineStr">
        <is>
          <t>Shift 20% of United Package volume to Speedy Express to save ~$4,300 annually in freight costs.</t>
        </is>
      </c>
    </row>
    <row r="27" ht="32" customHeight="1">
      <c r="A27" s="32" t="inlineStr">
        <is>
          <t>Sales Enablement</t>
        </is>
      </c>
      <c r="B27" s="25" t="inlineStr">
        <is>
          <t>Bottom 3 employees (Dodsworth, Suyama, Buchanan) account for 17.3% of revenue. Territory rebalancing and coaching could close the gap.</t>
        </is>
      </c>
    </row>
    <row r="28" ht="32" customHeight="1">
      <c r="A28" s="36" t="inlineStr">
        <is>
          <t>Category Expansion</t>
        </is>
      </c>
      <c r="B28" s="26" t="inlineStr">
        <is>
          <t>Beverages + Dairy = 40% of revenue. Introduce premium sub-categories in USA and Germany — the two largest markets.</t>
        </is>
      </c>
    </row>
    <row r="29" ht="32" customHeight="1">
      <c r="A29" s="32" t="inlineStr">
        <is>
          <t>Discount Governance</t>
        </is>
      </c>
      <c r="B29" s="25" t="inlineStr">
        <is>
          <t>Implement category-specific discount ceilings (max 15%). Require management approval for higher discounts, especially in Confections and Seafood.</t>
        </is>
      </c>
    </row>
  </sheetData>
  <mergeCells count="5">
    <mergeCell ref="G3:K3"/>
    <mergeCell ref="A1:P1"/>
    <mergeCell ref="G10:K10"/>
    <mergeCell ref="A23:K23"/>
    <mergeCell ref="A3:E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2026-04-28T15:24:47Z</dcterms:created>
  <dcterms:modified xmlns:dcterms="http://purl.org/dc/terms/" xmlns:xsi="http://www.w3.org/2001/XMLSchema-instance" xsi:type="dcterms:W3CDTF">2026-04-28T15:24:47Z</dcterms:modified>
</cp:coreProperties>
</file>